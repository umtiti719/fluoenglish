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vcut Durum" sheetId="1" state="visible" r:id="rId3"/>
    <sheet name="Tekrar Analizi" sheetId="2" state="visible" r:id="rId4"/>
    <sheet name="Hedefler" sheetId="3" state="visible" r:id="rId5"/>
    <sheet name="P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<sst xmlns="http://schemas.openxmlformats.org/spreadsheetml/2006/main" count="81" uniqueCount="77">
  <si>
    <t xml:space="preserve">Fluo – İçerik Durumu</t>
  </si>
  <si>
    <t xml:space="preserve">Uygulamadaki mevcut içerik sayıları (19 Ekim 2026 itibarıyla). Mavi hücreler sayımdan gelen girdilerdir.</t>
  </si>
  <si>
    <t xml:space="preserve">Bölüm</t>
  </si>
  <si>
    <t xml:space="preserve">Birim</t>
  </si>
  <si>
    <t xml:space="preserve">Mevcut adet</t>
  </si>
  <si>
    <t xml:space="preserve">Açıklama</t>
  </si>
  <si>
    <t xml:space="preserve">Kelime Yarışması</t>
  </si>
  <si>
    <t xml:space="preserve">Kelime (4 seviye)</t>
  </si>
  <si>
    <t xml:space="preserve">Kolay 55, Orta 50, Zor 45, Uzman 45. Her tur 10 kelime; 2–3 turdan sonra tekrar başlıyor.</t>
  </si>
  <si>
    <t xml:space="preserve">Kelime Öğren</t>
  </si>
  <si>
    <t xml:space="preserve">Kelime (11 deste × 12)</t>
  </si>
  <si>
    <t xml:space="preserve">Her kelimenin tek örnek cümlesi var. Desteyi bir kez bitiren her şeyi görmüş oluyor.</t>
  </si>
  <si>
    <t xml:space="preserve">Metin Çevirisi</t>
  </si>
  <si>
    <t xml:space="preserve">Metin (4 seviye × 4)</t>
  </si>
  <si>
    <t xml:space="preserve">Seviye başına 4 metin; 5. metinde ilk metin geri geliyor. Tekrarın en çok hissedildiği yer.</t>
  </si>
  <si>
    <t xml:space="preserve">Dil Bilgisi</t>
  </si>
  <si>
    <t xml:space="preserve">Alıştırma sorusu (23 konu)</t>
  </si>
  <si>
    <t xml:space="preserve">Konu başına 5–6 soru; ikinci çözüşte aynı sorular aynı sırayla geliyor.</t>
  </si>
  <si>
    <t xml:space="preserve">Farklı kelime (iki bölüm birlikte)</t>
  </si>
  <si>
    <t xml:space="preserve">Yarışma ve Kelime Öğren bölümlerindeki benzersiz kelimeler (ortak olanlar bir kez sayıldı).</t>
  </si>
  <si>
    <t xml:space="preserve">Günlük İngilizce için gereken</t>
  </si>
  <si>
    <t xml:space="preserve">Yaklaşık 2.000–3.000 kelime; alt sınır alındı.</t>
  </si>
  <si>
    <t xml:space="preserve">Karşılama oranı</t>
  </si>
  <si>
    <t xml:space="preserve">Mevcut farklı kelime sayısının günlük İngilizce ihtiyacına oranı.</t>
  </si>
  <si>
    <t xml:space="preserve">Ne zaman tekrar başlıyor?</t>
  </si>
  <si>
    <t xml:space="preserve">Havuz / bir seferde gösterilen = tekrarsız kaç tur ya da seans yapılabileceği.</t>
  </si>
  <si>
    <t xml:space="preserve">Havuz</t>
  </si>
  <si>
    <t xml:space="preserve">Bir seferde gösterilen</t>
  </si>
  <si>
    <t xml:space="preserve">Tekrarsız tur/seans</t>
  </si>
  <si>
    <t xml:space="preserve">Yarışma – Kolay</t>
  </si>
  <si>
    <t xml:space="preserve">Yarışma – Orta</t>
  </si>
  <si>
    <t xml:space="preserve">Yarışma – Zor</t>
  </si>
  <si>
    <t xml:space="preserve">Yarışma – Uzman</t>
  </si>
  <si>
    <t xml:space="preserve">Metin – her seviye</t>
  </si>
  <si>
    <t xml:space="preserve">Kelime Öğren – bir deste</t>
  </si>
  <si>
    <t xml:space="preserve">Gramer – bir konu (ort.)</t>
  </si>
  <si>
    <t xml:space="preserve">Not: Uygulama şu an gördüklerini hatırlamadığı için seçim rastgele; gerçekte tekrar bu sayılardan da önce görülebilir.</t>
  </si>
  <si>
    <t xml:space="preserve">Önerilen hedefler: Orta ve Büyük ölçek</t>
  </si>
  <si>
    <t xml:space="preserve">Mavi hücreler önerilen hedeflerdir; değiştirince artış katları yeniden hesaplanır.</t>
  </si>
  <si>
    <t xml:space="preserve">Kalem</t>
  </si>
  <si>
    <t xml:space="preserve">Mevcut</t>
  </si>
  <si>
    <t xml:space="preserve">Orta hedef</t>
  </si>
  <si>
    <t xml:space="preserve">Büyük hedef</t>
  </si>
  <si>
    <t xml:space="preserve">Orta / mevcut</t>
  </si>
  <si>
    <t xml:space="preserve">Büyük / mevcut</t>
  </si>
  <si>
    <t xml:space="preserve">Not</t>
  </si>
  <si>
    <t xml:space="preserve">Yarışma kelimesi</t>
  </si>
  <si>
    <t xml:space="preserve">Orta: seviye başına ~250. Büyük: seviye başına ~500.</t>
  </si>
  <si>
    <t xml:space="preserve">Kelime Öğren kelimesi</t>
  </si>
  <si>
    <t xml:space="preserve">Orta: ~20 deste × 25. Büyük: ~40 deste × 25.</t>
  </si>
  <si>
    <t xml:space="preserve">Deste sayısı</t>
  </si>
  <si>
    <t xml:space="preserve">Yeni konu desteleri.</t>
  </si>
  <si>
    <t xml:space="preserve">Çeviri metni</t>
  </si>
  <si>
    <t xml:space="preserve">Orta: seviye başına 15. Büyük: seviye başına 25.</t>
  </si>
  <si>
    <t xml:space="preserve">Gramer alıştırma sorusu</t>
  </si>
  <si>
    <t xml:space="preserve">Konu başına 10–12 soru (ortalama 11); sıra her seferinde karışır. Büyük ölçek için ayrı hedef belirtilmedi.</t>
  </si>
  <si>
    <t xml:space="preserve">Toplam kelime (yarışma + öğren)</t>
  </si>
  <si>
    <t xml:space="preserve">İki bölümde ortak kelimeler olabileceği için farklı kelime sayısı bundan biraz düşük olur.</t>
  </si>
  <si>
    <t xml:space="preserve">Önerilen üç adım</t>
  </si>
  <si>
    <t xml:space="preserve">Durum sütunu senin kararına göre güncellenebilir.</t>
  </si>
  <si>
    <t xml:space="preserve">Adım</t>
  </si>
  <si>
    <t xml:space="preserve">Ne yapılır</t>
  </si>
  <si>
    <t xml:space="preserve">Sonuç</t>
  </si>
  <si>
    <t xml:space="preserve">Durum</t>
  </si>
  <si>
    <t xml:space="preserve">1. Hafıza eklemek</t>
  </si>
  <si>
    <t xml:space="preserve">Her kişinin gördüğü kelime, metin ve sorular kaydedilir. Önce hiç görülmemişler gelir, havuz bitince en eski görülenlere dönülür. Yanlış bilinen kelimeler belli aralıklarla tekrar sorulur (aralıklı tekrar).</t>
  </si>
  <si>
    <t xml:space="preserve">Görülen her şey tükenmeden hiçbir şey tekrar etmez.</t>
  </si>
  <si>
    <t xml:space="preserve">Önerilen başlangıç adımı.</t>
  </si>
  <si>
    <t xml:space="preserve">Karar bekliyor</t>
  </si>
  <si>
    <t xml:space="preserve">2. İçeriği büyütmek</t>
  </si>
  <si>
    <t xml:space="preserve">Yarışma kelimeleri, desteler, metinler ve gramer soruları "Hedefler" sayfasındaki ölçeğe göre artırılır. Gramer sorularının sırası her seferinde karışır.</t>
  </si>
  <si>
    <t xml:space="preserve">Tekrar ihtimali ciddi biçimde azalır.</t>
  </si>
  <si>
    <t xml:space="preserve">Elle yazılacağı için en uzun süren adım; aşama aşama eklenebilir.</t>
  </si>
  <si>
    <t xml:space="preserve">3. Yapay zekâ ile sınırsız içerik (isteğe bağlı)</t>
  </si>
  <si>
    <t xml:space="preserve">Sabit metinler bitince seviyeye uygun yeni metinler ve kelimeler için yeni örnek cümleler anında üretilir.</t>
  </si>
  <si>
    <t xml:space="preserve">Metinler pratikte hiç tükenmez.</t>
  </si>
  <si>
    <t xml:space="preserve">Yalnızca paylaşılan bağlantıdaki sürümde çalışır; doğrudan açılan dosyada sabit havuz kullanılır.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</si>
</sst>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0.#"/>
    <numFmt numFmtId="168" formatCode="0.0"/>
    <numFmt numFmtId="169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B7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1F25"/>
        <bgColor rgb="FF333300"/>
      </patternFill>
    </fill>
    <fill>
      <patternFill patternType="solid">
        <fgColor rgb="FFFFF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9E9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0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F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6.85" hidden="false" customHeight="false" outlineLevel="0" collapsed="false">
      <c r="A5" s="4" t="s">
        <v>6</v>
      </c>
      <c r="B5" s="5" t="s">
        <v>7</v>
      </c>
      <c r="C5" s="6" t="n">
        <v>195</v>
      </c>
      <c r="D5" s="5" t="s">
        <v>8</v>
      </c>
    </row>
    <row r="6" customFormat="false" ht="26.85" hidden="false" customHeight="false" outlineLevel="0" collapsed="false">
      <c r="A6" s="4" t="s">
        <v>9</v>
      </c>
      <c r="B6" s="5" t="s">
        <v>10</v>
      </c>
      <c r="C6" s="6" t="n">
        <v>132</v>
      </c>
      <c r="D6" s="5" t="s">
        <v>11</v>
      </c>
    </row>
    <row r="7" customFormat="false" ht="26.85" hidden="false" customHeight="false" outlineLevel="0" collapsed="false">
      <c r="A7" s="4" t="s">
        <v>12</v>
      </c>
      <c r="B7" s="5" t="s">
        <v>13</v>
      </c>
      <c r="C7" s="6" t="n">
        <v>16</v>
      </c>
      <c r="D7" s="5" t="s">
        <v>14</v>
      </c>
    </row>
    <row r="8" customFormat="false" ht="15" hidden="false" customHeight="false" outlineLevel="0" collapsed="false">
      <c r="A8" s="4" t="s">
        <v>15</v>
      </c>
      <c r="B8" s="5" t="s">
        <v>16</v>
      </c>
      <c r="C8" s="6" t="n">
        <v>127</v>
      </c>
      <c r="D8" s="5" t="s">
        <v>17</v>
      </c>
    </row>
    <row r="10" customFormat="false" ht="26.85" hidden="false" customHeight="false" outlineLevel="0" collapsed="false">
      <c r="A10" s="4" t="s">
        <v>18</v>
      </c>
      <c r="C10" s="6" t="n">
        <v>319</v>
      </c>
      <c r="D10" s="5" t="s">
        <v>19</v>
      </c>
    </row>
    <row r="11" customFormat="false" ht="26.85" hidden="false" customHeight="false" outlineLevel="0" collapsed="false">
      <c r="A11" s="4" t="s">
        <v>20</v>
      </c>
      <c r="C11" s="6" t="n">
        <v>2000</v>
      </c>
      <c r="D11" s="5" t="s">
        <v>21</v>
      </c>
    </row>
    <row r="12" customFormat="false" ht="15" hidden="false" customHeight="false" outlineLevel="0" collapsed="false">
      <c r="A12" s="4" t="s">
        <v>22</v>
      </c>
      <c r="C12" s="7" t="n">
        <f aca="false">C10/C11</f>
        <v>0.1595</v>
      </c>
      <c r="D12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4" min="3" style="0" width="22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30" hidden="false" customHeight="true" outlineLevel="0" collapsed="false">
      <c r="A4" s="3" t="s">
        <v>2</v>
      </c>
      <c r="B4" s="3" t="s">
        <v>26</v>
      </c>
      <c r="C4" s="3" t="s">
        <v>27</v>
      </c>
      <c r="D4" s="3" t="s">
        <v>28</v>
      </c>
    </row>
    <row r="5" customFormat="false" ht="15" hidden="false" customHeight="false" outlineLevel="0" collapsed="false">
      <c r="A5" s="4" t="s">
        <v>29</v>
      </c>
      <c r="B5" s="8" t="n">
        <v>55</v>
      </c>
      <c r="C5" s="8" t="n">
        <v>10</v>
      </c>
      <c r="D5" s="9" t="n">
        <f aca="false">B5/C5</f>
        <v>5.5</v>
      </c>
    </row>
    <row r="6" customFormat="false" ht="15" hidden="false" customHeight="false" outlineLevel="0" collapsed="false">
      <c r="A6" s="4" t="s">
        <v>30</v>
      </c>
      <c r="B6" s="8" t="n">
        <v>50</v>
      </c>
      <c r="C6" s="8" t="n">
        <v>10</v>
      </c>
      <c r="D6" s="9" t="n">
        <f aca="false">B6/C6</f>
        <v>5</v>
      </c>
    </row>
    <row r="7" customFormat="false" ht="15" hidden="false" customHeight="false" outlineLevel="0" collapsed="false">
      <c r="A7" s="4" t="s">
        <v>31</v>
      </c>
      <c r="B7" s="8" t="n">
        <v>45</v>
      </c>
      <c r="C7" s="8" t="n">
        <v>10</v>
      </c>
      <c r="D7" s="9" t="n">
        <f aca="false">B7/C7</f>
        <v>4.5</v>
      </c>
    </row>
    <row r="8" customFormat="false" ht="15" hidden="false" customHeight="false" outlineLevel="0" collapsed="false">
      <c r="A8" s="4" t="s">
        <v>32</v>
      </c>
      <c r="B8" s="8" t="n">
        <v>45</v>
      </c>
      <c r="C8" s="8" t="n">
        <v>10</v>
      </c>
      <c r="D8" s="9" t="n">
        <f aca="false">B8/C8</f>
        <v>4.5</v>
      </c>
    </row>
    <row r="9" customFormat="false" ht="15" hidden="false" customHeight="false" outlineLevel="0" collapsed="false">
      <c r="A9" s="4" t="s">
        <v>33</v>
      </c>
      <c r="B9" s="8" t="n">
        <v>4</v>
      </c>
      <c r="C9" s="8" t="n">
        <v>1</v>
      </c>
      <c r="D9" s="9" t="n">
        <f aca="false">B9/C9</f>
        <v>4</v>
      </c>
    </row>
    <row r="10" customFormat="false" ht="15" hidden="false" customHeight="false" outlineLevel="0" collapsed="false">
      <c r="A10" s="4" t="s">
        <v>34</v>
      </c>
      <c r="B10" s="8" t="n">
        <v>12</v>
      </c>
      <c r="C10" s="8" t="n">
        <v>12</v>
      </c>
      <c r="D10" s="9" t="n">
        <f aca="false">B10/C10</f>
        <v>1</v>
      </c>
    </row>
    <row r="11" customFormat="false" ht="15" hidden="false" customHeight="false" outlineLevel="0" collapsed="false">
      <c r="A11" s="4" t="s">
        <v>35</v>
      </c>
      <c r="B11" s="8" t="n">
        <v>5.5</v>
      </c>
      <c r="C11" s="8" t="n">
        <v>5.5</v>
      </c>
      <c r="D11" s="9" t="n">
        <f aca="false">B11/C11</f>
        <v>1</v>
      </c>
    </row>
    <row r="13" customFormat="false" ht="15" hidden="false" customHeight="false" outlineLevel="0" collapsed="false">
      <c r="A13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6" min="5" style="0" width="13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30" hidden="false" customHeight="tru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</row>
    <row r="5" customFormat="false" ht="15" hidden="false" customHeight="false" outlineLevel="0" collapsed="false">
      <c r="A5" s="4" t="s">
        <v>46</v>
      </c>
      <c r="B5" s="10" t="n">
        <f aca="false">'Mevcut Durum'!C5</f>
        <v>195</v>
      </c>
      <c r="C5" s="11" t="n">
        <v>1000</v>
      </c>
      <c r="D5" s="11" t="n">
        <v>2000</v>
      </c>
      <c r="E5" s="12" t="n">
        <f aca="false">IFERROR(C5/B5,0)</f>
        <v>5.12820512820513</v>
      </c>
      <c r="F5" s="12" t="n">
        <f aca="false">IFERROR(D5/B5,0)</f>
        <v>10.2564102564103</v>
      </c>
      <c r="G5" s="5" t="s">
        <v>47</v>
      </c>
    </row>
    <row r="6" customFormat="false" ht="15" hidden="false" customHeight="false" outlineLevel="0" collapsed="false">
      <c r="A6" s="4" t="s">
        <v>48</v>
      </c>
      <c r="B6" s="10" t="n">
        <f aca="false">'Mevcut Durum'!C6</f>
        <v>132</v>
      </c>
      <c r="C6" s="11" t="n">
        <v>500</v>
      </c>
      <c r="D6" s="11" t="n">
        <v>1000</v>
      </c>
      <c r="E6" s="12" t="n">
        <f aca="false">IFERROR(C6/B6,0)</f>
        <v>3.78787878787879</v>
      </c>
      <c r="F6" s="12" t="n">
        <f aca="false">IFERROR(D6/B6,0)</f>
        <v>7.57575757575758</v>
      </c>
      <c r="G6" s="5" t="s">
        <v>49</v>
      </c>
    </row>
    <row r="7" customFormat="false" ht="15" hidden="false" customHeight="false" outlineLevel="0" collapsed="false">
      <c r="A7" s="4" t="s">
        <v>50</v>
      </c>
      <c r="B7" s="6" t="n">
        <v>11</v>
      </c>
      <c r="C7" s="11" t="n">
        <v>20</v>
      </c>
      <c r="D7" s="11" t="n">
        <v>40</v>
      </c>
      <c r="E7" s="12" t="n">
        <f aca="false">IFERROR(C7/B7,0)</f>
        <v>1.81818181818182</v>
      </c>
      <c r="F7" s="12" t="n">
        <f aca="false">IFERROR(D7/B7,0)</f>
        <v>3.63636363636364</v>
      </c>
      <c r="G7" s="5" t="s">
        <v>51</v>
      </c>
    </row>
    <row r="8" customFormat="false" ht="15" hidden="false" customHeight="false" outlineLevel="0" collapsed="false">
      <c r="A8" s="4" t="s">
        <v>52</v>
      </c>
      <c r="B8" s="10" t="n">
        <f aca="false">'Mevcut Durum'!C7</f>
        <v>16</v>
      </c>
      <c r="C8" s="11" t="n">
        <v>60</v>
      </c>
      <c r="D8" s="11" t="n">
        <v>100</v>
      </c>
      <c r="E8" s="12" t="n">
        <f aca="false">IFERROR(C8/B8,0)</f>
        <v>3.75</v>
      </c>
      <c r="F8" s="12" t="n">
        <f aca="false">IFERROR(D8/B8,0)</f>
        <v>6.25</v>
      </c>
      <c r="G8" s="5" t="s">
        <v>53</v>
      </c>
    </row>
    <row r="9" customFormat="false" ht="39.55" hidden="false" customHeight="false" outlineLevel="0" collapsed="false">
      <c r="A9" s="4" t="s">
        <v>54</v>
      </c>
      <c r="B9" s="10" t="n">
        <f aca="false">'Mevcut Durum'!C8</f>
        <v>127</v>
      </c>
      <c r="C9" s="13" t="n">
        <f aca="false">23*11</f>
        <v>253</v>
      </c>
      <c r="D9" s="13" t="n">
        <f aca="false">23*11</f>
        <v>253</v>
      </c>
      <c r="E9" s="12" t="n">
        <f aca="false">IFERROR(C9/B9,0)</f>
        <v>1.99212598425197</v>
      </c>
      <c r="F9" s="12" t="n">
        <f aca="false">IFERROR(D9/B9,0)</f>
        <v>1.99212598425197</v>
      </c>
      <c r="G9" s="5" t="s">
        <v>55</v>
      </c>
    </row>
    <row r="10" customFormat="false" ht="26.85" hidden="false" customHeight="false" outlineLevel="0" collapsed="false">
      <c r="A10" s="4" t="s">
        <v>56</v>
      </c>
      <c r="B10" s="14" t="n">
        <f aca="false">B5+B6</f>
        <v>327</v>
      </c>
      <c r="C10" s="14" t="n">
        <f aca="false">C5+C6</f>
        <v>1500</v>
      </c>
      <c r="D10" s="14" t="n">
        <f aca="false">D5+D6</f>
        <v>3000</v>
      </c>
      <c r="E10" s="15" t="n">
        <f aca="false">IFERROR(C10/B10,0)</f>
        <v>4.58715596330275</v>
      </c>
      <c r="F10" s="15" t="n">
        <f aca="false">IFERROR(D10/B10,0)</f>
        <v>9.17431192660551</v>
      </c>
      <c r="G10" s="5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30" hidden="false" customHeight="true" outlineLevel="0" collapsed="false">
      <c r="A4" s="3" t="s">
        <v>60</v>
      </c>
      <c r="B4" s="3" t="s">
        <v>61</v>
      </c>
      <c r="C4" s="3" t="s">
        <v>62</v>
      </c>
      <c r="D4" s="3" t="s">
        <v>45</v>
      </c>
      <c r="E4" s="3" t="s">
        <v>63</v>
      </c>
    </row>
    <row r="5" customFormat="false" ht="52.2" hidden="false" customHeight="false" outlineLevel="0" collapsed="false">
      <c r="A5" s="4" t="s">
        <v>64</v>
      </c>
      <c r="B5" s="5" t="s">
        <v>65</v>
      </c>
      <c r="C5" s="5" t="s">
        <v>66</v>
      </c>
      <c r="D5" s="5" t="s">
        <v>67</v>
      </c>
      <c r="E5" s="16" t="s">
        <v>68</v>
      </c>
    </row>
    <row r="6" customFormat="false" ht="39.55" hidden="false" customHeight="false" outlineLevel="0" collapsed="false">
      <c r="A6" s="4" t="s">
        <v>69</v>
      </c>
      <c r="B6" s="5" t="s">
        <v>70</v>
      </c>
      <c r="C6" s="5" t="s">
        <v>71</v>
      </c>
      <c r="D6" s="5" t="s">
        <v>72</v>
      </c>
      <c r="E6" s="16" t="s">
        <v>68</v>
      </c>
    </row>
    <row r="7" customFormat="false" ht="39.55" hidden="false" customHeight="false" outlineLevel="0" collapsed="false">
      <c r="A7" s="4" t="s">
        <v>73</v>
      </c>
      <c r="B7" s="5" t="s">
        <v>74</v>
      </c>
      <c r="C7" s="5" t="s">
        <v>75</v>
      </c>
      <c r="D7" s="5" t="s">
        <v>76</v>
      </c>
      <c r="E7" s="16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2026-10-19T20:17:20Z</dcterms:created>
  <dc:creator>openpyxl</dc:creator>
  <dc:description/>
  <dc:language>en-US</dc:language>
  <cp:lastModifiedBy/>
  <dcterms:modified xsi:type="dcterms:W3CDTF">2026-10-19T20:17:20Z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